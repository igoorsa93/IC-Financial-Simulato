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goor\Downloads\"/>
    </mc:Choice>
  </mc:AlternateContent>
  <xr:revisionPtr revIDLastSave="0" documentId="13_ncr:1_{FDB9638B-5828-41BE-81F6-7F2C575767A3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Simulador" sheetId="1" r:id="rId1"/>
    <sheet name="Dados" sheetId="2" r:id="rId2"/>
    <sheet name="Guia Rápid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1" l="1"/>
  <c r="K25" i="1"/>
  <c r="L24" i="1"/>
  <c r="L23" i="1"/>
  <c r="L22" i="1"/>
  <c r="L21" i="1"/>
  <c r="H17" i="1"/>
  <c r="H14" i="1"/>
  <c r="H16" i="1" s="1"/>
  <c r="I9" i="1"/>
  <c r="H15" i="1" l="1"/>
  <c r="C38" i="1" l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D30" i="1"/>
  <c r="C25" i="1"/>
  <c r="D25" i="1" s="1"/>
  <c r="C24" i="1"/>
  <c r="D24" i="1" s="1"/>
  <c r="C23" i="1"/>
  <c r="D23" i="1" s="1"/>
  <c r="C22" i="1"/>
  <c r="D22" i="1" s="1"/>
  <c r="C21" i="1"/>
  <c r="D21" i="1" s="1"/>
  <c r="D16" i="1"/>
  <c r="D8" i="1"/>
  <c r="D17" i="1" l="1"/>
  <c r="D39" i="1"/>
  <c r="C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tc={362FD0F6-EC25-4F4E-B919-CFB78863AD0D}</author>
    <author>tc={72427EBE-B37D-4F0C-A537-0B7B2D887EEC}</author>
    <author>tc={1F1DFCDA-4A60-4D3F-9F7A-947C1E4E515B}</author>
    <author>tc={EA96B073-8423-4A6A-8EDF-82FA493D66F6}</author>
    <author>tc={348A4FE0-755E-4378-9DF0-CCF6601DBCAE}</author>
    <author>tc={BB6A1368-2011-4133-8794-2A8EE8B27DF5}</author>
    <author>tc={EE08219A-F9CF-4325-9A06-29E933EE2E29}</author>
    <author>tc={EBD23B87-201B-4D52-9F7A-6C911B50DAB2}</author>
    <author>tc={0FA3AB0E-86F2-48A3-A5AD-704208FA1F96}</author>
    <author>tc={BBC12418-8A51-49EF-866D-C002E1E54742}</author>
    <author>tc={3114A867-E293-4C08-A51D-FEC8BB8E71DE}</author>
    <author>tc={B92A2E26-98A1-48EC-8BC8-DD2F2C6A6565}</author>
    <author>tc={47AC13DD-52D7-4803-B12C-0627E9CF1A77}</author>
    <author>tc={A2F59AD5-2E20-4A20-AB8D-63516077FB5B}</author>
    <author>tc={A8098DA1-30A2-4DE4-9770-7A6DD01AA320}</author>
  </authors>
  <commentList>
    <comment ref="I6" authorId="0" shapeId="0" xr:uid="{362FD0F6-EC25-4F4E-B919-CFB78863AD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Banco Central do Brasil (Copom) — meta Selic definida em 05/08/2026: 14,00% a.a. Próxima reunião: 16/09/2026. Via https://www.santander.com.br/blog/taxa-selic-hoje</t>
      </text>
    </comment>
    <comment ref="I7" authorId="1" shapeId="0" xr:uid="{72427EBE-B37D-4F0C-A537-0B7B2D887E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Banco Central do Brasil — CDI de 04/09/2026: 13,90% a.a. Via https://renovainvest.com.br/indices/cdi/</t>
      </text>
    </comment>
    <comment ref="I8" authorId="2" shapeId="0" xr:uid="{1F1DFCDA-4A60-4D3F-9F7A-947C1E4E51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Economatica — dividend yield médio do IFIX nos últimos 10 anos (acumulado 12 meses): 8,0% a.a. Via https://insight.economatica.com/dividendos-nos-fundos-imobiliarios/</t>
      </text>
    </comment>
    <comment ref="H21" authorId="3" shapeId="0" xr:uid="{EA96B073-8423-4A6A-8EDF-82FA493D66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StockAnalysis.com, dividend yield anualizado de 12,21% (dados de mercado, consultado em 08/09/2026). Via https://stockanalysis.com/quote/bvmf/MXRF11/dividend/</t>
      </text>
    </comment>
    <comment ref="I21" authorId="4" shapeId="0" xr:uid="{348A4FE0-755E-4378-9DF0-CCF6601DBC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(cotação R$9,19, 07/09/2026) e StatusInvest (valor patrimonial R$9,2293) — P/VP calculado ≈1,00. Via https://investidor10.com.br/fiis/mxrf11/</t>
      </text>
    </comment>
    <comment ref="J21" authorId="5" shapeId="0" xr:uid="{BB6A1368-2011-4133-8794-2A8EE8B27D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Investidor10, cotação de 07/09/2026: R$9,19. Via https://investidor10.com.br/fiis/mxrf11/</t>
      </text>
    </comment>
    <comment ref="H22" authorId="6" shapeId="0" xr:uid="{EE08219A-F9CF-4325-9A06-29E933EE2E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— Dividend Yield 12 meses: 8,99%. Via https://investidor10.com.br/fiis/hglg11/</t>
      </text>
    </comment>
    <comment ref="I22" authorId="7" shapeId="0" xr:uid="{EBD23B87-201B-4D52-9F7A-6C911B50D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— P/VP: 0,89 (cotação R$148,30). Via https://investidor10.com.br/fiis/hglg11/</t>
      </text>
    </comment>
    <comment ref="J22" authorId="8" shapeId="0" xr:uid="{0FA3AB0E-86F2-48A3-A5AD-704208FA1F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Investidor10, cotação: R$148,30. Via https://investidor10.com.br/fiis/hglg11/</t>
      </text>
    </comment>
    <comment ref="H23" authorId="9" shapeId="0" xr:uid="{BBC12418-8A51-49EF-866D-C002E1E54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— Dividend Yield 12 meses: 8,29%. Via https://investidor10.com.br/fiis/knri11/</t>
      </text>
    </comment>
    <comment ref="I23" authorId="10" shapeId="0" xr:uid="{3114A867-E293-4C08-A51D-FEC8BB8E71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— P/VP: 0,97 (cotação R$158,23). Via https://investidor10.com.br/fiis/knri11/</t>
      </text>
    </comment>
    <comment ref="J23" authorId="11" shapeId="0" xr:uid="{B92A2E26-98A1-48EC-8BC8-DD2F2C6A65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Investidor10, cotação: R$158,23. Via https://investidor10.com.br/fiis/knri11/</t>
      </text>
    </comment>
    <comment ref="H24" authorId="12" shapeId="0" xr:uid="{47AC13DD-52D7-4803-B12C-0627E9CF1A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— Dividend Yield 12 meses: 10,59%. Via https://investidor10.com.br/fiis/xpml11/</t>
      </text>
    </comment>
    <comment ref="I24" authorId="13" shapeId="0" xr:uid="{A2F59AD5-2E20-4A20-AB8D-63516077FB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 — P/VP: 0,95 (cotação R$104,38). Via https://investidor10.com.br/fiis/xpml11/</t>
      </text>
    </comment>
    <comment ref="J24" authorId="14" shapeId="0" xr:uid="{A8098DA1-30A2-4DE4-9770-7A6DD01AA3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Investidor10, cotação: R$104,38. Via https://investidor10.com.br/fiis/xpml11/</t>
      </text>
    </comment>
  </commentList>
</comments>
</file>

<file path=xl/sharedStrings.xml><?xml version="1.0" encoding="utf-8"?>
<sst xmlns="http://schemas.openxmlformats.org/spreadsheetml/2006/main" count="139" uniqueCount="105">
  <si>
    <t xml:space="preserve">  ⚙️  CONFIGURAÇÕES PESSOAIS</t>
  </si>
  <si>
    <t>Salário Mensal (R$)</t>
  </si>
  <si>
    <t>Rendimento da Carteira (% a.m.)</t>
  </si>
  <si>
    <t>Sugestão de Investimento (30% do Salário)</t>
  </si>
  <si>
    <t xml:space="preserve">  📈  PARÂMETROS DE INVESTIMENTO</t>
  </si>
  <si>
    <t>Quanto investir por mês? (R$)</t>
  </si>
  <si>
    <t>Por quantos anos?</t>
  </si>
  <si>
    <t>Taxa de Rendimento Mensal (%)</t>
  </si>
  <si>
    <t xml:space="preserve">  🏆  RESULTADOS PROJETADOS</t>
  </si>
  <si>
    <t>💰  Patrimônio Acumulado (R$)</t>
  </si>
  <si>
    <t>📊  Dividendos Mensais Estimados (R$)</t>
  </si>
  <si>
    <t xml:space="preserve">  🔭  CENÁRIOS DE PROJEÇÃO</t>
  </si>
  <si>
    <t>Prazo</t>
  </si>
  <si>
    <t>Patrimônio (R$)</t>
  </si>
  <si>
    <t>Dividendos/mês (R$)</t>
  </si>
  <si>
    <t>2 anos</t>
  </si>
  <si>
    <t>5 anos</t>
  </si>
  <si>
    <t>10 anos</t>
  </si>
  <si>
    <t>20 anos</t>
  </si>
  <si>
    <t>30 anos</t>
  </si>
  <si>
    <t xml:space="preserve">  🧩  PERFIL DE INVESTIDOR &amp; ALOCAÇÃO DE FIIs</t>
  </si>
  <si>
    <t>Perfil do Investidor</t>
  </si>
  <si>
    <t>Moderado</t>
  </si>
  <si>
    <t>Valor a Investir por Mês (R$)</t>
  </si>
  <si>
    <t>Tipo de FII</t>
  </si>
  <si>
    <t>% Sugerido</t>
  </si>
  <si>
    <t>Valor (R$)</t>
  </si>
  <si>
    <t>PAPEL</t>
  </si>
  <si>
    <t>TIJOLO</t>
  </si>
  <si>
    <t>HÍBRIDOS</t>
  </si>
  <si>
    <t>FOFs</t>
  </si>
  <si>
    <t>DESENVOLVIMENTO</t>
  </si>
  <si>
    <t>HOTELARIAS</t>
  </si>
  <si>
    <t>TOTAL ALOCADO</t>
  </si>
  <si>
    <t>IC Financial Simulator · Igor Cardoso · github.com/igorcardoso</t>
  </si>
  <si>
    <t>CHAVE</t>
  </si>
  <si>
    <t>PERFIL</t>
  </si>
  <si>
    <t>TIPO DE FII</t>
  </si>
  <si>
    <t>%</t>
  </si>
  <si>
    <t>Conservador-PAPEL</t>
  </si>
  <si>
    <t>Conservador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</si>
  <si>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</si>
  <si>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</si>
  <si>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</si>
  <si>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</si>
  <si>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</si>
  <si>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</si>
  <si>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</si>
  <si>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</si>
  <si>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</si>
  <si>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</si>
  <si>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</si>
  <si>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</si>
  <si>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</si>
  <si>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</si>
  <si>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</si>
  <si>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</si>
  <si>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</si>
  <si>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</si>
  <si>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1️⃣  Salário &amp; Rendimento</t>
  </si>
  <si>
    <t>2️⃣  Parâmetros de Investimento</t>
  </si>
  <si>
    <t>3️⃣  Leia os Resultados</t>
  </si>
  <si>
    <t>4️⃣  Cenários Automáticos</t>
  </si>
  <si>
    <t>5️⃣  Perfil &amp; Alocação</t>
  </si>
  <si>
    <t>D29 → escolha seu perfil via lista suspensa (Conservador / Moderado / Agressivo).
A tabela de FIIs mostra o % sugerido para cada tipo e o valor em R$.</t>
  </si>
  <si>
    <t>📐  FÓRMULAS UTILIZADAS</t>
  </si>
  <si>
    <t>Juros Compostos (Patrimônio)</t>
  </si>
  <si>
    <t>PMT × [((1 + i)^n − 1) / i]   onde i = taxa mensal, n = meses</t>
  </si>
  <si>
    <t>Dividendos Mensais</t>
  </si>
  <si>
    <t>Patrimônio × Rendimento da Carteira (mensal)</t>
  </si>
  <si>
    <t>Sugestão de Investimento</t>
  </si>
  <si>
    <t>30% do Salário Mensal</t>
  </si>
  <si>
    <t>Alocação por FII</t>
  </si>
  <si>
    <t>% do Perfil × Valor mensal a investir</t>
  </si>
  <si>
    <t xml:space="preserve">        🗂  BASE DE DADOS — Alocação por Perfil de Investidor</t>
  </si>
  <si>
    <t>📡  TAXAS DE MERCADO (REFERÊNCIA)</t>
  </si>
  <si>
    <t>Taxa Selic (meta Copom, a.a.)</t>
  </si>
  <si>
    <t>CDI (a.a.)</t>
  </si>
  <si>
    <t>IFIX – Yield Médio 10a (a.a.)</t>
  </si>
  <si>
    <t>Seu Rendimento Assumido (a.a.)</t>
  </si>
  <si>
    <t>🎯  META FINANCEIRA</t>
  </si>
  <si>
    <t>Valor da Meta (R$)</t>
  </si>
  <si>
    <t>Prazo Desejado (anos)</t>
  </si>
  <si>
    <t>Patrimônio Projetado no Prazo</t>
  </si>
  <si>
    <t>Faltam para a Meta (R$)</t>
  </si>
  <si>
    <t>% da Meta Atingida</t>
  </si>
  <si>
    <t>Tempo Necessário (anos)</t>
  </si>
  <si>
    <t>🏢  FIIs REAIS SUGERIDOS (REFERÊNCIA)</t>
  </si>
  <si>
    <t>Ticker</t>
  </si>
  <si>
    <t>Segmento</t>
  </si>
  <si>
    <t>DY 12m</t>
  </si>
  <si>
    <t>P/VP</t>
  </si>
  <si>
    <t>MXRF11</t>
  </si>
  <si>
    <t>Papel (CRI)</t>
  </si>
  <si>
    <t>HGLG11</t>
  </si>
  <si>
    <t>Tijolo (Logística)</t>
  </si>
  <si>
    <t>KNRI11</t>
  </si>
  <si>
    <t>Híbrido</t>
  </si>
  <si>
    <t>XPML11</t>
  </si>
  <si>
    <t>Tijolo (Shoppings)</t>
  </si>
  <si>
    <t>Dados de mercado sujeitos a variação diária. Não é recomendação de investimento.</t>
  </si>
  <si>
    <t>Cotação (R$)</t>
  </si>
  <si>
    <t>Valor Investido (R$)</t>
  </si>
  <si>
    <t>Qtd. Cotas</t>
  </si>
  <si>
    <t>TOTAL INVESTIDO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</si>
</sst>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.00"/>
    <numFmt numFmtId="165" formatCode="0.000%"/>
    <numFmt numFmtId="166" formatCode="0&quot; anos&quot;"/>
    <numFmt numFmtId="169" formatCode="0.0&quot; anos&quot;"/>
    <numFmt numFmtId="170" formatCode="0.00&quot;x&quot;"/>
  </numFmts>
  <fonts count="2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1565C0"/>
      <name val="Arial"/>
      <family val="2"/>
    </font>
    <font>
      <b/>
      <sz val="10"/>
      <color rgb="FF1B5E20"/>
      <name val="Arial"/>
      <family val="2"/>
    </font>
    <font>
      <b/>
      <sz val="12"/>
      <color rgb="FF1B5E20"/>
      <name val="Arial"/>
      <family val="2"/>
    </font>
    <font>
      <b/>
      <sz val="10"/>
      <color rgb="FFFFFFFF"/>
      <name val="Arial"/>
      <family val="2"/>
    </font>
    <font>
      <b/>
      <sz val="10"/>
      <color rgb="FF1565C0"/>
      <name val="Arial"/>
      <family val="2"/>
    </font>
    <font>
      <b/>
      <sz val="9"/>
      <color rgb="FFFFFFFF"/>
      <name val="Arial"/>
      <family val="2"/>
    </font>
    <font>
      <sz val="11"/>
      <color rgb="FF1B5E20"/>
      <name val="Calibri"/>
      <family val="2"/>
      <charset val="1"/>
    </font>
    <font>
      <sz val="10"/>
      <color rgb="FF12324A"/>
      <name val="Arial"/>
      <family val="2"/>
    </font>
    <font>
      <b/>
      <sz val="10"/>
      <color rgb="FF12324A"/>
      <name val="Arial"/>
      <family val="2"/>
    </font>
    <font>
      <i/>
      <sz val="8"/>
      <color rgb="FF5A6B7A"/>
      <name val="Arial"/>
      <family val="2"/>
    </font>
    <font>
      <b/>
      <sz val="11"/>
      <color rgb="FF12324A"/>
      <name val="Arial"/>
      <family val="2"/>
    </font>
    <font>
      <sz val="10"/>
      <color rgb="FF5A6B7A"/>
      <name val="Arial"/>
      <family val="2"/>
    </font>
    <font>
      <i/>
      <sz val="10"/>
      <color rgb="FF5A6B7A"/>
      <name val="Arial"/>
      <family val="2"/>
    </font>
    <font>
      <sz val="9"/>
      <color indexed="81"/>
      <name val="Segoe UI"/>
      <family val="2"/>
    </font>
    <font>
      <b/>
      <sz val="10"/>
      <color rgb="FFB71C1C"/>
      <name val="Arial"/>
      <family val="2"/>
    </font>
    <font>
      <b/>
      <sz val="11"/>
      <color rgb="FF0E7C66"/>
      <name val="Arial"/>
      <family val="2"/>
    </font>
    <font>
      <b/>
      <sz val="10"/>
      <color rgb="FF0E7C66"/>
      <name val="Arial"/>
      <family val="2"/>
    </font>
    <font>
      <b/>
      <i/>
      <sz val="10"/>
      <color rgb="FFFFFFFF"/>
      <name val="Arial"/>
      <family val="2"/>
    </font>
    <font>
      <b/>
      <sz val="11"/>
      <color rgb="FF3DDC9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A0E1A"/>
        <bgColor indexed="64"/>
      </patternFill>
    </fill>
    <fill>
      <patternFill patternType="solid">
        <fgColor rgb="FFEFF3F7"/>
        <bgColor indexed="64"/>
      </patternFill>
    </fill>
    <fill>
      <patternFill patternType="solid">
        <fgColor rgb="FF0E3D3E"/>
        <bgColor indexed="64"/>
      </patternFill>
    </fill>
    <fill>
      <patternFill patternType="solid">
        <fgColor rgb="FFEAF7F2"/>
        <bgColor indexed="64"/>
      </patternFill>
    </fill>
  </fills>
  <borders count="4">
    <border>
      <left/>
      <right/>
      <top/>
      <bottom/>
      <diagonal/>
    </border>
    <border>
      <left style="thin">
        <color rgb="FF22303F"/>
      </left>
      <right style="thin">
        <color rgb="FF22303F"/>
      </right>
      <top style="thin">
        <color rgb="FF22303F"/>
      </top>
      <bottom style="thin">
        <color rgb="FF22303F"/>
      </bottom>
      <diagonal/>
    </border>
    <border>
      <left/>
      <right/>
      <top/>
      <bottom style="thin">
        <color rgb="FF22303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Fill="1"/>
    <xf numFmtId="0" fontId="0" fillId="2" borderId="3" xfId="0" applyFill="1" applyBorder="1"/>
    <xf numFmtId="0" fontId="9" fillId="2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0" fillId="5" borderId="3" xfId="0" applyFill="1" applyBorder="1"/>
    <xf numFmtId="164" fontId="2" fillId="5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/>
    <xf numFmtId="164" fontId="4" fillId="3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9" fillId="2" borderId="0" xfId="0" applyFont="1" applyFill="1"/>
    <xf numFmtId="0" fontId="9" fillId="5" borderId="0" xfId="0" applyFont="1" applyFill="1"/>
    <xf numFmtId="0" fontId="3" fillId="3" borderId="0" xfId="0" applyFont="1" applyFill="1"/>
    <xf numFmtId="10" fontId="3" fillId="3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16" fillId="5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10" fillId="5" borderId="0" xfId="0" applyFont="1" applyFill="1"/>
    <xf numFmtId="0" fontId="1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/>
    </xf>
    <xf numFmtId="164" fontId="17" fillId="2" borderId="3" xfId="0" applyNumberFormat="1" applyFont="1" applyFill="1" applyBorder="1" applyAlignment="1">
      <alignment horizontal="center" vertical="center" wrapText="1"/>
    </xf>
    <xf numFmtId="165" fontId="17" fillId="5" borderId="3" xfId="0" applyNumberFormat="1" applyFont="1" applyFill="1" applyBorder="1" applyAlignment="1">
      <alignment horizontal="center" vertical="center" wrapText="1"/>
    </xf>
    <xf numFmtId="164" fontId="17" fillId="5" borderId="3" xfId="0" applyNumberFormat="1" applyFont="1" applyFill="1" applyBorder="1" applyAlignment="1">
      <alignment horizontal="center" vertical="center" wrapText="1"/>
    </xf>
    <xf numFmtId="166" fontId="17" fillId="2" borderId="3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>
      <alignment horizontal="center" vertical="center" wrapText="1"/>
    </xf>
    <xf numFmtId="164" fontId="18" fillId="5" borderId="3" xfId="0" applyNumberFormat="1" applyFont="1" applyFill="1" applyBorder="1" applyAlignment="1">
      <alignment horizontal="center" vertical="center" wrapText="1"/>
    </xf>
    <xf numFmtId="9" fontId="18" fillId="2" borderId="3" xfId="0" applyNumberFormat="1" applyFont="1" applyFill="1" applyBorder="1" applyAlignment="1">
      <alignment horizontal="center" vertical="center" wrapText="1"/>
    </xf>
    <xf numFmtId="9" fontId="18" fillId="5" borderId="3" xfId="0" applyNumberFormat="1" applyFont="1" applyFill="1" applyBorder="1" applyAlignment="1">
      <alignment horizontal="center" vertical="center" wrapText="1"/>
    </xf>
    <xf numFmtId="164" fontId="18" fillId="2" borderId="0" xfId="0" applyNumberFormat="1" applyFont="1" applyFill="1" applyAlignment="1">
      <alignment horizontal="center"/>
    </xf>
    <xf numFmtId="166" fontId="18" fillId="5" borderId="0" xfId="0" applyNumberFormat="1" applyFont="1" applyFill="1" applyAlignment="1">
      <alignment horizontal="center"/>
    </xf>
    <xf numFmtId="169" fontId="18" fillId="5" borderId="0" xfId="0" applyNumberFormat="1" applyFont="1" applyFill="1" applyAlignment="1">
      <alignment horizontal="center"/>
    </xf>
    <xf numFmtId="10" fontId="18" fillId="2" borderId="0" xfId="0" applyNumberFormat="1" applyFont="1" applyFill="1" applyAlignment="1">
      <alignment horizontal="center"/>
    </xf>
    <xf numFmtId="10" fontId="18" fillId="5" borderId="0" xfId="0" applyNumberFormat="1" applyFont="1" applyFill="1" applyAlignment="1">
      <alignment horizontal="center"/>
    </xf>
    <xf numFmtId="0" fontId="1" fillId="6" borderId="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170" fontId="18" fillId="2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left"/>
    </xf>
    <xf numFmtId="10" fontId="18" fillId="7" borderId="0" xfId="0" applyNumberFormat="1" applyFont="1" applyFill="1" applyAlignment="1">
      <alignment horizontal="center"/>
    </xf>
    <xf numFmtId="170" fontId="18" fillId="7" borderId="0" xfId="0" applyNumberFormat="1" applyFont="1" applyFill="1" applyAlignment="1">
      <alignment horizontal="center"/>
    </xf>
    <xf numFmtId="0" fontId="7" fillId="6" borderId="0" xfId="0" applyFont="1" applyFill="1" applyBorder="1" applyAlignment="1">
      <alignment horizontal="center"/>
    </xf>
    <xf numFmtId="164" fontId="18" fillId="7" borderId="0" xfId="0" applyNumberFormat="1" applyFont="1" applyFill="1" applyAlignment="1">
      <alignment horizontal="center"/>
    </xf>
    <xf numFmtId="0" fontId="7" fillId="6" borderId="0" xfId="0" applyFont="1" applyFill="1" applyBorder="1" applyAlignment="1">
      <alignment horizontal="center" wrapText="1"/>
    </xf>
    <xf numFmtId="2" fontId="18" fillId="2" borderId="0" xfId="0" applyNumberFormat="1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2" fontId="18" fillId="7" borderId="0" xfId="0" applyNumberFormat="1" applyFont="1" applyFill="1" applyAlignment="1">
      <alignment horizontal="center"/>
    </xf>
    <xf numFmtId="0" fontId="19" fillId="6" borderId="0" xfId="0" applyFont="1" applyFill="1" applyAlignment="1">
      <alignment horizontal="right" vertical="center"/>
    </xf>
    <xf numFmtId="164" fontId="20" fillId="6" borderId="0" xfId="0" applyNumberFormat="1" applyFont="1" applyFill="1" applyAlignment="1">
      <alignment horizontal="center"/>
    </xf>
    <xf numFmtId="2" fontId="20" fillId="6" borderId="0" xfId="0" applyNumberFormat="1" applyFont="1" applyFill="1" applyAlignment="1">
      <alignment horizontal="center"/>
    </xf>
    <xf numFmtId="0" fontId="1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D7377"/>
      <rgbColor rgb="FFB0BEC5"/>
      <rgbColor rgb="FF607D8B"/>
      <rgbColor rgb="FF9999FF"/>
      <rgbColor rgb="FF993366"/>
      <rgbColor rgb="FFE8F5E9"/>
      <rgbColor rgb="FFE3F2FD"/>
      <rgbColor rgb="FF660066"/>
      <rgbColor rgb="FFFF8080"/>
      <rgbColor rgb="FF1565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0CAF9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666699"/>
      <rgbColor rgb="FF90A4AE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1600" y="0"/>
    <xdr:ext cx="10363200" cy="863600"/>
    <xdr:sp macro="" textlink="">
      <xdr:nvSpPr>
        <xdr:cNvPr id="31" name="SimBannerGlow">
          <a:extLst>
            <a:ext uri="{FF2B5EF4-FFF2-40B4-BE49-F238E27FC236}">
              <a16:creationId xmlns:a16="http://schemas.microsoft.com/office/drawing/2014/main" id="{D819DD5B-20CA-4DB4-8390-17ECBF29D77E}"/>
            </a:ext>
          </a:extLst>
        </xdr:cNvPr>
        <xdr:cNvSpPr/>
      </xdr:nvSpPr>
      <xdr:spPr>
        <a:xfrm>
          <a:off x="101600" y="0"/>
          <a:ext cx="10363200" cy="863600"/>
        </a:xfrm>
        <a:prstGeom prst="roundRect">
          <a:avLst/>
        </a:prstGeom>
        <a:solidFill>
          <a:srgbClr val="3DDC97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absoluteAnchor>
  <xdr:absoluteAnchor>
    <xdr:pos x="152400" y="50800"/>
    <xdr:ext cx="10261600" cy="762000"/>
    <xdr:sp macro="" textlink="">
      <xdr:nvSpPr>
        <xdr:cNvPr id="32" name="SimBannerBG">
          <a:extLst>
            <a:ext uri="{FF2B5EF4-FFF2-40B4-BE49-F238E27FC236}">
              <a16:creationId xmlns:a16="http://schemas.microsoft.com/office/drawing/2014/main" id="{B3548292-25A3-4F54-9A9A-10212BB18485}"/>
            </a:ext>
          </a:extLst>
        </xdr:cNvPr>
        <xdr:cNvSpPr/>
      </xdr:nvSpPr>
      <xdr:spPr>
        <a:xfrm>
          <a:off x="152400" y="50800"/>
          <a:ext cx="10261600" cy="762000"/>
        </a:xfrm>
        <a:prstGeom prst="roundRect">
          <a:avLst/>
        </a:prstGeom>
        <a:solidFill>
          <a:srgbClr val="0E3D3E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absoluteAnchor>
  <xdr:absoluteAnchor>
    <xdr:pos x="2819400" y="152400"/>
    <xdr:ext cx="558800" cy="558800"/>
    <xdr:sp macro="" textlink="">
      <xdr:nvSpPr>
        <xdr:cNvPr id="33" name="SimIconBadge">
          <a:extLst>
            <a:ext uri="{FF2B5EF4-FFF2-40B4-BE49-F238E27FC236}">
              <a16:creationId xmlns:a16="http://schemas.microsoft.com/office/drawing/2014/main" id="{7AADE1A6-6031-40AE-95DA-3100B826A865}"/>
            </a:ext>
          </a:extLst>
        </xdr:cNvPr>
        <xdr:cNvSpPr/>
      </xdr:nvSpPr>
      <xdr:spPr>
        <a:xfrm>
          <a:off x="2819400" y="152400"/>
          <a:ext cx="558800" cy="558800"/>
        </a:xfrm>
        <a:prstGeom prst="ellipse">
          <a:avLst/>
        </a:prstGeom>
        <a:solidFill>
          <a:srgbClr val="3DDC97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absoluteAnchor>
  <xdr:absoluteAnchor>
    <xdr:pos x="2819400" y="152400"/>
    <xdr:ext cx="558800" cy="558800"/>
    <xdr:sp macro="" textlink="">
      <xdr:nvSpPr>
        <xdr:cNvPr id="34" name="SimIcon">
          <a:extLst>
            <a:ext uri="{FF2B5EF4-FFF2-40B4-BE49-F238E27FC236}">
              <a16:creationId xmlns:a16="http://schemas.microsoft.com/office/drawing/2014/main" id="{C497AA91-E953-136B-4598-5069735900FB}"/>
            </a:ext>
          </a:extLst>
        </xdr:cNvPr>
        <xdr:cNvSpPr txBox="1"/>
      </xdr:nvSpPr>
      <xdr:spPr>
        <a:xfrm>
          <a:off x="2819400" y="152400"/>
          <a:ext cx="558800" cy="5588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pt-BR" sz="2200" b="0" i="0" u="none" strike="noStrike" kern="0" cap="none" spc="0" normalizeH="0" baseline="0" noProof="0">
              <a:ln>
                <a:noFill/>
              </a:ln>
              <a:solidFill>
                <a:srgbClr val="0E3D3E"/>
              </a:solidFill>
              <a:effectLst/>
              <a:uLnTx/>
              <a:uFillTx/>
              <a:latin typeface="Arial"/>
              <a:cs typeface="Arial"/>
            </a:rPr>
            <a:t>🐷</a:t>
          </a:r>
        </a:p>
      </xdr:txBody>
    </xdr:sp>
    <xdr:clientData/>
  </xdr:absoluteAnchor>
  <xdr:absoluteAnchor>
    <xdr:pos x="3568700" y="177800"/>
    <xdr:ext cx="8890000" cy="431800"/>
    <xdr:sp macro="" textlink="">
      <xdr:nvSpPr>
        <xdr:cNvPr id="35" name="SimTitle">
          <a:extLst>
            <a:ext uri="{FF2B5EF4-FFF2-40B4-BE49-F238E27FC236}">
              <a16:creationId xmlns:a16="http://schemas.microsoft.com/office/drawing/2014/main" id="{B57FA972-6215-07C9-44B3-F186B2F1E545}"/>
            </a:ext>
          </a:extLst>
        </xdr:cNvPr>
        <xdr:cNvSpPr txBox="1"/>
      </xdr:nvSpPr>
      <xdr:spPr>
        <a:xfrm>
          <a:off x="3568700" y="177800"/>
          <a:ext cx="8890000" cy="4318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l"/>
          <a:r>
            <a:rPr kumimoji="0" lang="pt-BR" sz="2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 Black"/>
            </a:rPr>
            <a:t>IC FINANCIAL SIMULATOR</a:t>
          </a:r>
        </a:p>
      </xdr:txBody>
    </xdr:sp>
    <xdr:clientData/>
  </xdr:absoluteAnchor>
  <xdr:absoluteAnchor>
    <xdr:pos x="3568700" y="558800"/>
    <xdr:ext cx="6769100" cy="254000"/>
    <xdr:sp macro="" textlink="">
      <xdr:nvSpPr>
        <xdr:cNvPr id="36" name="SimSubtitle">
          <a:extLst>
            <a:ext uri="{FF2B5EF4-FFF2-40B4-BE49-F238E27FC236}">
              <a16:creationId xmlns:a16="http://schemas.microsoft.com/office/drawing/2014/main" id="{F19B090A-F22D-B7A2-9802-6EAF19848E37}"/>
            </a:ext>
          </a:extLst>
        </xdr:cNvPr>
        <xdr:cNvSpPr txBox="1"/>
      </xdr:nvSpPr>
      <xdr:spPr>
        <a:xfrm>
          <a:off x="3568700" y="558800"/>
          <a:ext cx="67691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pt-BR" sz="1000" b="0" i="1" u="none" strike="noStrike" kern="0" cap="none" spc="0" normalizeH="0" baseline="0" noProof="0">
              <a:ln>
                <a:noFill/>
              </a:ln>
              <a:solidFill>
                <a:srgbClr val="3DDC97"/>
              </a:solidFill>
              <a:effectLst/>
              <a:uLnTx/>
              <a:uFillTx/>
              <a:latin typeface="Arial"/>
              <a:cs typeface="Arial"/>
            </a:rPr>
            <a:t>Simulador de Investimentos em Fundos Imobiliários (FIIs)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01600" y="0"/>
    <xdr:ext cx="5511800" cy="736600"/>
    <xdr:sp macro="" textlink="">
      <xdr:nvSpPr>
        <xdr:cNvPr id="12" name="GuiaGlow">
          <a:extLst>
            <a:ext uri="{FF2B5EF4-FFF2-40B4-BE49-F238E27FC236}">
              <a16:creationId xmlns:a16="http://schemas.microsoft.com/office/drawing/2014/main" id="{7DB96C0A-EB76-49E4-B704-4ACCB89B2E6E}"/>
            </a:ext>
          </a:extLst>
        </xdr:cNvPr>
        <xdr:cNvSpPr/>
      </xdr:nvSpPr>
      <xdr:spPr>
        <a:xfrm>
          <a:off x="101600" y="0"/>
          <a:ext cx="5511800" cy="736600"/>
        </a:xfrm>
        <a:prstGeom prst="roundRect">
          <a:avLst/>
        </a:prstGeom>
        <a:solidFill>
          <a:srgbClr val="3DDC97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absoluteAnchor>
  <xdr:absoluteAnchor>
    <xdr:pos x="139700" y="38100"/>
    <xdr:ext cx="5435600" cy="660400"/>
    <xdr:sp macro="" textlink="">
      <xdr:nvSpPr>
        <xdr:cNvPr id="13" name="GuiaBG">
          <a:extLst>
            <a:ext uri="{FF2B5EF4-FFF2-40B4-BE49-F238E27FC236}">
              <a16:creationId xmlns:a16="http://schemas.microsoft.com/office/drawing/2014/main" id="{95760A17-BFDA-408D-A08F-D7FE5996D1E4}"/>
            </a:ext>
          </a:extLst>
        </xdr:cNvPr>
        <xdr:cNvSpPr/>
      </xdr:nvSpPr>
      <xdr:spPr>
        <a:xfrm>
          <a:off x="139700" y="38100"/>
          <a:ext cx="5435600" cy="660400"/>
        </a:xfrm>
        <a:prstGeom prst="roundRect">
          <a:avLst/>
        </a:prstGeom>
        <a:solidFill>
          <a:srgbClr val="0E3D3E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absoluteAnchor>
  <xdr:absoluteAnchor>
    <xdr:pos x="1803400" y="114300"/>
    <xdr:ext cx="508000" cy="508000"/>
    <xdr:sp macro="" textlink="">
      <xdr:nvSpPr>
        <xdr:cNvPr id="14" name="GuiaIconBadge">
          <a:extLst>
            <a:ext uri="{FF2B5EF4-FFF2-40B4-BE49-F238E27FC236}">
              <a16:creationId xmlns:a16="http://schemas.microsoft.com/office/drawing/2014/main" id="{430756E4-8AF4-4957-8626-676222CDCBFF}"/>
            </a:ext>
          </a:extLst>
        </xdr:cNvPr>
        <xdr:cNvSpPr/>
      </xdr:nvSpPr>
      <xdr:spPr>
        <a:xfrm>
          <a:off x="1803400" y="114300"/>
          <a:ext cx="508000" cy="508000"/>
        </a:xfrm>
        <a:prstGeom prst="ellipse">
          <a:avLst/>
        </a:prstGeom>
        <a:solidFill>
          <a:srgbClr val="3DDC97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absoluteAnchor>
  <xdr:absoluteAnchor>
    <xdr:pos x="1803400" y="114300"/>
    <xdr:ext cx="508000" cy="508000"/>
    <xdr:sp macro="" textlink="">
      <xdr:nvSpPr>
        <xdr:cNvPr id="15" name="GuiaIcon">
          <a:extLst>
            <a:ext uri="{FF2B5EF4-FFF2-40B4-BE49-F238E27FC236}">
              <a16:creationId xmlns:a16="http://schemas.microsoft.com/office/drawing/2014/main" id="{4A4A313A-59D5-FAE1-DB15-0DE8A3868062}"/>
            </a:ext>
          </a:extLst>
        </xdr:cNvPr>
        <xdr:cNvSpPr txBox="1"/>
      </xdr:nvSpPr>
      <xdr:spPr>
        <a:xfrm>
          <a:off x="1803400" y="114300"/>
          <a:ext cx="508000" cy="5080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rgbClr val="0E3D3E"/>
              </a:solidFill>
              <a:effectLst/>
              <a:uLnTx/>
              <a:uFillTx/>
              <a:latin typeface="Arial"/>
              <a:cs typeface="Arial"/>
            </a:rPr>
            <a:t>🐷</a:t>
          </a:r>
        </a:p>
      </xdr:txBody>
    </xdr:sp>
    <xdr:clientData/>
  </xdr:absoluteAnchor>
  <xdr:absoluteAnchor>
    <xdr:pos x="2463800" y="127000"/>
    <xdr:ext cx="8890000" cy="330200"/>
    <xdr:sp macro="" textlink="">
      <xdr:nvSpPr>
        <xdr:cNvPr id="16" name="GuiaTitle">
          <a:extLst>
            <a:ext uri="{FF2B5EF4-FFF2-40B4-BE49-F238E27FC236}">
              <a16:creationId xmlns:a16="http://schemas.microsoft.com/office/drawing/2014/main" id="{017C545E-B6CE-EF55-2197-4AFF8CF9F0ED}"/>
            </a:ext>
          </a:extLst>
        </xdr:cNvPr>
        <xdr:cNvSpPr txBox="1"/>
      </xdr:nvSpPr>
      <xdr:spPr>
        <a:xfrm>
          <a:off x="2463800" y="127000"/>
          <a:ext cx="8890000" cy="3302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l"/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rial Black"/>
            </a:rPr>
            <a:t>GUIA RÁPIDO</a:t>
          </a:r>
        </a:p>
      </xdr:txBody>
    </xdr:sp>
    <xdr:clientData/>
  </xdr:absoluteAnchor>
  <xdr:absoluteAnchor>
    <xdr:pos x="2463800" y="444500"/>
    <xdr:ext cx="3022600" cy="228600"/>
    <xdr:sp macro="" textlink="">
      <xdr:nvSpPr>
        <xdr:cNvPr id="17" name="GuiaSubtitle">
          <a:extLst>
            <a:ext uri="{FF2B5EF4-FFF2-40B4-BE49-F238E27FC236}">
              <a16:creationId xmlns:a16="http://schemas.microsoft.com/office/drawing/2014/main" id="{9CA64EDE-92F5-0C11-8D59-EBBEFA0C64B9}"/>
            </a:ext>
          </a:extLst>
        </xdr:cNvPr>
        <xdr:cNvSpPr txBox="1"/>
      </xdr:nvSpPr>
      <xdr:spPr>
        <a:xfrm>
          <a:off x="2463800" y="444500"/>
          <a:ext cx="3022600" cy="2286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pt-BR" sz="900" b="0" i="1" u="none" strike="noStrike" kern="0" cap="none" spc="0" normalizeH="0" baseline="0" noProof="0">
              <a:ln>
                <a:noFill/>
              </a:ln>
              <a:solidFill>
                <a:srgbClr val="3DDC97"/>
              </a:solidFill>
              <a:effectLst/>
              <a:uLnTx/>
              <a:uFillTx/>
              <a:latin typeface="Arial"/>
              <a:cs typeface="Arial"/>
            </a:rPr>
            <a:t>Como usar o IC Financial Simulator em 5 passos</a:t>
          </a:r>
        </a:p>
      </xdr:txBody>
    </xdr:sp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gor cardoso" id="{A61CB2E2-F97C-4FC2-813A-FF0AE4E141A8}" userId="97eba328127fe43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6-09-08T15:05:44.06" personId="{A61CB2E2-F97C-4FC2-813A-FF0AE4E141A8}" id="{362FD0F6-EC25-4F4E-B919-CFB78863AD0D}">
    <text>Source: Banco Central do Brasil (Copom) — meta Selic definida em 05/08/2026: 14,00% a.a. Próxima reunião: 16/09/2026. Via https://www.santander.com.br/blog/taxa-selic-hoje</text>
  </threadedComment>
  <threadedComment ref="I7" dT="2026-09-08T15:05:44.08" personId="{A61CB2E2-F97C-4FC2-813A-FF0AE4E141A8}" id="{72427EBE-B37D-4F0C-A537-0B7B2D887EEC}">
    <text>Source: Banco Central do Brasil — CDI de 04/09/2026: 13,90% a.a. Via https://renovainvest.com.br/indices/cdi/</text>
  </threadedComment>
  <threadedComment ref="I8" dT="2026-09-08T15:05:44.08" personId="{A61CB2E2-F97C-4FC2-813A-FF0AE4E141A8}" id="{1F1DFCDA-4A60-4D3F-9F7A-947C1E4E515B}">
    <text>Source: Economatica — dividend yield médio do IFIX nos últimos 10 anos (acumulado 12 meses): 8,0% a.a. Via https://insight.economatica.com/dividendos-nos-fundos-imobiliarios/</text>
  </threadedComment>
  <threadedComment ref="H21" dT="2026-09-08T15:26:41.96" personId="{A61CB2E2-F97C-4FC2-813A-FF0AE4E141A8}" id="{EA96B073-8423-4A6A-8EDF-82FA493D66F6}">
    <text>Source: StockAnalysis.com, dividend yield anualizado de 12,21% (dados de mercado, consultado em 08/09/2026). Via https://stockanalysis.com/quote/bvmf/MXRF11/dividend/</text>
  </threadedComment>
  <threadedComment ref="I21" dT="2026-09-08T15:26:41.97" personId="{A61CB2E2-F97C-4FC2-813A-FF0AE4E141A8}" id="{348A4FE0-755E-4378-9DF0-CCF6601DBCAE}">
    <text>Source: Investidor10 (cotação R$9,19, 07/09/2026) e StatusInvest (valor patrimonial R$9,2293) — P/VP calculado ≈1,00. Via https://investidor10.com.br/fiis/mxrf11/</text>
  </threadedComment>
  <threadedComment ref="J21" dT="2026-09-08T15:27:58.56" personId="{A61CB2E2-F97C-4FC2-813A-FF0AE4E141A8}" id="{BB6A1368-2011-4133-8794-2A8EE8B27DF5}">
    <text>Source: Investidor10, cotação de 07/09/2026: R$9,19. Via https://investidor10.com.br/fiis/mxrf11/</text>
  </threadedComment>
  <threadedComment ref="H22" dT="2026-09-08T15:26:41.97" personId="{A61CB2E2-F97C-4FC2-813A-FF0AE4E141A8}" id="{EE08219A-F9CF-4325-9A06-29E933EE2E29}">
    <text>Source: Investidor10 — Dividend Yield 12 meses: 8,99%. Via https://investidor10.com.br/fiis/hglg11/</text>
  </threadedComment>
  <threadedComment ref="I22" dT="2026-09-08T15:26:41.97" personId="{A61CB2E2-F97C-4FC2-813A-FF0AE4E141A8}" id="{EBD23B87-201B-4D52-9F7A-6C911B50DAB2}">
    <text>Source: Investidor10 — P/VP: 0,89 (cotação R$148,30). Via https://investidor10.com.br/fiis/hglg11/</text>
  </threadedComment>
  <threadedComment ref="J22" dT="2026-09-08T15:27:58.56" personId="{A61CB2E2-F97C-4FC2-813A-FF0AE4E141A8}" id="{0FA3AB0E-86F2-48A3-A5AD-704208FA1F96}">
    <text>Source: Investidor10, cotação: R$148,30. Via https://investidor10.com.br/fiis/hglg11/</text>
  </threadedComment>
  <threadedComment ref="H23" dT="2026-09-08T15:26:41.98" personId="{A61CB2E2-F97C-4FC2-813A-FF0AE4E141A8}" id="{BBC12418-8A51-49EF-866D-C002E1E54742}">
    <text>Source: Investidor10 — Dividend Yield 12 meses: 8,29%. Via https://investidor10.com.br/fiis/knri11/</text>
  </threadedComment>
  <threadedComment ref="I23" dT="2026-09-08T15:26:41.98" personId="{A61CB2E2-F97C-4FC2-813A-FF0AE4E141A8}" id="{3114A867-E293-4C08-A51D-FEC8BB8E71DE}">
    <text>Source: Investidor10 — P/VP: 0,97 (cotação R$158,23). Via https://investidor10.com.br/fiis/knri11/</text>
  </threadedComment>
  <threadedComment ref="J23" dT="2026-09-08T15:27:58.57" personId="{A61CB2E2-F97C-4FC2-813A-FF0AE4E141A8}" id="{B92A2E26-98A1-48EC-8BC8-DD2F2C6A6565}">
    <text>Source: Investidor10, cotação: R$158,23. Via https://investidor10.com.br/fiis/knri11/</text>
  </threadedComment>
  <threadedComment ref="H24" dT="2026-09-08T15:26:41.98" personId="{A61CB2E2-F97C-4FC2-813A-FF0AE4E141A8}" id="{47AC13DD-52D7-4803-B12C-0627E9CF1A77}">
    <text>Source: Investidor10 — Dividend Yield 12 meses: 10,59%. Via https://investidor10.com.br/fiis/xpml11/</text>
  </threadedComment>
  <threadedComment ref="I24" dT="2026-09-08T15:26:41.98" personId="{A61CB2E2-F97C-4FC2-813A-FF0AE4E141A8}" id="{A2F59AD5-2E20-4A20-AB8D-63516077FB5B}">
    <text>Source: Investidor10 — P/VP: 0,95 (cotação R$104,38). Via https://investidor10.com.br/fiis/xpml11/</text>
  </threadedComment>
  <threadedComment ref="J24" dT="2026-09-08T15:27:58.57" personId="{A61CB2E2-F97C-4FC2-813A-FF0AE4E141A8}" id="{A8098DA1-30A2-4DE4-9770-7A6DD01AA320}">
    <text>Source: Investidor10, cotação: R$104,38. Via https://investidor10.com.br/fiis/xpml11/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0F4B36-DFA3-43BC-A047-569FC0633C7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115f68-bb41-47bf-b191-e6e37bc6904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D9F5"/>
  </sheetPr>
  <dimension ref="A1:L69"/>
  <sheetViews>
    <sheetView showGridLines="0" topLeftCell="A2" zoomScale="85" zoomScaleNormal="85" workbookViewId="0">
      <selection activeCell="F19" sqref="F19:L19"/>
    </sheetView>
  </sheetViews>
  <sheetFormatPr defaultColWidth="8.6640625" defaultRowHeight="14.4"/>
  <cols>
    <col min="1" max="1" width="2" customWidth="1"/>
    <col min="2" max="2" width="38" customWidth="1"/>
    <col min="3" max="4" width="22" customWidth="1"/>
    <col min="5" max="5" width="2.5546875" customWidth="1"/>
    <col min="6" max="6" width="20.33203125" customWidth="1"/>
    <col min="7" max="7" width="24.109375" customWidth="1"/>
    <col min="8" max="8" width="16.6640625" customWidth="1"/>
    <col min="9" max="9" width="20.33203125" customWidth="1"/>
    <col min="10" max="10" width="17.5546875" customWidth="1"/>
    <col min="11" max="11" width="20.33203125" customWidth="1"/>
    <col min="12" max="12" width="16.6640625" customWidth="1"/>
    <col min="13" max="13" width="10.88671875" customWidth="1"/>
  </cols>
  <sheetData>
    <row r="1" spans="1:9" ht="72" customHeight="1">
      <c r="A1" s="4"/>
      <c r="E1" s="3"/>
      <c r="F1" s="3"/>
      <c r="G1" s="3"/>
      <c r="H1" s="3"/>
    </row>
    <row r="2" spans="1:9" ht="6" customHeight="1">
      <c r="A2" s="4"/>
      <c r="E2" s="3"/>
      <c r="F2" s="3"/>
      <c r="G2" s="3"/>
      <c r="H2" s="3"/>
    </row>
    <row r="3" spans="1:9" ht="4.05" customHeight="1">
      <c r="A3" s="4"/>
      <c r="E3" s="3"/>
      <c r="F3" s="3"/>
      <c r="G3" s="3"/>
      <c r="H3" s="3"/>
    </row>
    <row r="4" spans="1:9" ht="7.95" customHeight="1">
      <c r="A4" s="4"/>
      <c r="B4" s="4"/>
      <c r="C4" s="4"/>
      <c r="D4" s="4"/>
      <c r="E4" s="3"/>
      <c r="F4" s="3"/>
      <c r="G4" s="3"/>
      <c r="H4" s="3"/>
    </row>
    <row r="5" spans="1:9" ht="24" customHeight="1">
      <c r="A5" s="4"/>
      <c r="B5" s="41" t="s">
        <v>0</v>
      </c>
      <c r="C5" s="41"/>
      <c r="D5" s="41"/>
      <c r="E5" s="3"/>
      <c r="F5" s="46" t="s">
        <v>75</v>
      </c>
      <c r="G5" s="46"/>
      <c r="H5" s="46"/>
      <c r="I5" s="46"/>
    </row>
    <row r="6" spans="1:9" ht="18" customHeight="1">
      <c r="A6" s="4"/>
      <c r="B6" s="5" t="s">
        <v>1</v>
      </c>
      <c r="C6" s="4"/>
      <c r="D6" s="47">
        <v>2000</v>
      </c>
      <c r="E6" s="3"/>
      <c r="F6" s="32" t="s">
        <v>76</v>
      </c>
      <c r="G6" s="32"/>
      <c r="H6" s="32"/>
      <c r="I6" s="59">
        <v>0.14000000000000001</v>
      </c>
    </row>
    <row r="7" spans="1:9" ht="18" customHeight="1">
      <c r="A7" s="4"/>
      <c r="B7" s="6" t="s">
        <v>2</v>
      </c>
      <c r="C7" s="7"/>
      <c r="D7" s="48">
        <v>6.0000000000000001E-3</v>
      </c>
      <c r="E7" s="3"/>
      <c r="F7" s="33" t="s">
        <v>77</v>
      </c>
      <c r="G7" s="33"/>
      <c r="H7" s="33"/>
      <c r="I7" s="60">
        <v>0.13900000000000001</v>
      </c>
    </row>
    <row r="8" spans="1:9" ht="18" customHeight="1">
      <c r="A8" s="4"/>
      <c r="B8" s="5" t="s">
        <v>3</v>
      </c>
      <c r="C8" s="4"/>
      <c r="D8" s="47">
        <f>D6*0.3</f>
        <v>600</v>
      </c>
      <c r="E8" s="3"/>
      <c r="F8" s="32" t="s">
        <v>78</v>
      </c>
      <c r="G8" s="32"/>
      <c r="H8" s="32"/>
      <c r="I8" s="59">
        <v>0.08</v>
      </c>
    </row>
    <row r="9" spans="1:9" ht="18" customHeight="1">
      <c r="A9" s="4"/>
      <c r="B9" s="4"/>
      <c r="C9" s="4"/>
      <c r="D9" s="4"/>
      <c r="E9" s="3"/>
      <c r="F9" s="34" t="s">
        <v>79</v>
      </c>
      <c r="G9" s="34"/>
      <c r="H9" s="34"/>
      <c r="I9" s="35">
        <f>(1+D7)^12-1</f>
        <v>7.4424167721924617E-2</v>
      </c>
    </row>
    <row r="10" spans="1:9" ht="24" customHeight="1">
      <c r="A10" s="4"/>
      <c r="B10" s="41" t="s">
        <v>4</v>
      </c>
      <c r="C10" s="41"/>
      <c r="D10" s="41"/>
      <c r="E10" s="3"/>
      <c r="F10" s="3"/>
      <c r="G10" s="3"/>
      <c r="H10" s="3"/>
    </row>
    <row r="11" spans="1:9" ht="19.5" customHeight="1">
      <c r="A11" s="4"/>
      <c r="B11" s="6" t="s">
        <v>5</v>
      </c>
      <c r="C11" s="7"/>
      <c r="D11" s="49">
        <v>200</v>
      </c>
      <c r="E11" s="3"/>
      <c r="F11" s="46" t="s">
        <v>80</v>
      </c>
      <c r="G11" s="46"/>
      <c r="H11" s="46"/>
    </row>
    <row r="12" spans="1:9" ht="18" customHeight="1">
      <c r="A12" s="4"/>
      <c r="B12" s="5" t="s">
        <v>6</v>
      </c>
      <c r="C12" s="4"/>
      <c r="D12" s="50">
        <v>5</v>
      </c>
      <c r="E12" s="3"/>
      <c r="F12" s="32" t="s">
        <v>81</v>
      </c>
      <c r="G12" s="32"/>
      <c r="H12" s="56">
        <v>100000</v>
      </c>
    </row>
    <row r="13" spans="1:9" ht="18" customHeight="1">
      <c r="A13" s="4"/>
      <c r="B13" s="6" t="s">
        <v>7</v>
      </c>
      <c r="C13" s="7"/>
      <c r="D13" s="48">
        <v>1.0789999999999999E-2</v>
      </c>
      <c r="E13" s="3"/>
      <c r="F13" s="33" t="s">
        <v>82</v>
      </c>
      <c r="G13" s="33"/>
      <c r="H13" s="57">
        <v>10</v>
      </c>
    </row>
    <row r="14" spans="1:9" ht="18" customHeight="1">
      <c r="A14" s="4"/>
      <c r="B14" s="4"/>
      <c r="C14" s="4"/>
      <c r="D14" s="4"/>
      <c r="E14" s="3"/>
      <c r="F14" s="32" t="s">
        <v>83</v>
      </c>
      <c r="G14" s="32"/>
      <c r="H14" s="37">
        <f>D11*(((1+D13)^(H13*12)-1)/D13)</f>
        <v>48656.842506034438</v>
      </c>
    </row>
    <row r="15" spans="1:9" ht="18" customHeight="1">
      <c r="A15" s="4"/>
      <c r="B15" s="41" t="s">
        <v>8</v>
      </c>
      <c r="C15" s="41"/>
      <c r="D15" s="41"/>
      <c r="E15" s="3"/>
      <c r="F15" s="33" t="s">
        <v>84</v>
      </c>
      <c r="G15" s="33"/>
      <c r="H15" s="38">
        <f>MAX(H12-H14,0)</f>
        <v>51343.157493965562</v>
      </c>
    </row>
    <row r="16" spans="1:9" ht="18" customHeight="1">
      <c r="A16" s="4"/>
      <c r="B16" s="9" t="s">
        <v>9</v>
      </c>
      <c r="C16" s="10"/>
      <c r="D16" s="11">
        <f>D11*((((1+D13)^(D12*12))-1)/D13)</f>
        <v>16755.382799697527</v>
      </c>
      <c r="E16" s="3"/>
      <c r="F16" s="32" t="s">
        <v>85</v>
      </c>
      <c r="G16" s="32"/>
      <c r="H16" s="39">
        <f>MIN(H14/H12,1)</f>
        <v>0.48656842506034437</v>
      </c>
    </row>
    <row r="17" spans="1:12" ht="18" customHeight="1">
      <c r="A17" s="4"/>
      <c r="B17" s="9" t="s">
        <v>10</v>
      </c>
      <c r="C17" s="10"/>
      <c r="D17" s="11">
        <f>D16*D7</f>
        <v>100.53229679818516</v>
      </c>
      <c r="E17" s="3"/>
      <c r="F17" s="40" t="s">
        <v>86</v>
      </c>
      <c r="G17" s="40"/>
      <c r="H17" s="58">
        <f>LN(1+(H12*D13)/D11)/LN(1+D13)/12</f>
        <v>14.407700343105333</v>
      </c>
    </row>
    <row r="18" spans="1:12" ht="7.95" customHeight="1">
      <c r="A18" s="4"/>
      <c r="B18" s="4"/>
      <c r="C18" s="4"/>
      <c r="D18" s="4"/>
      <c r="E18" s="3"/>
      <c r="F18" s="3"/>
      <c r="G18" s="3"/>
      <c r="H18" s="3"/>
    </row>
    <row r="19" spans="1:12" ht="24" customHeight="1">
      <c r="A19" s="4"/>
      <c r="B19" s="41" t="s">
        <v>11</v>
      </c>
      <c r="C19" s="41"/>
      <c r="D19" s="41"/>
      <c r="E19" s="3"/>
      <c r="F19" s="66" t="s">
        <v>87</v>
      </c>
      <c r="G19" s="66"/>
      <c r="H19" s="66"/>
      <c r="I19" s="66"/>
      <c r="J19" s="66"/>
      <c r="K19" s="66"/>
      <c r="L19" s="66"/>
    </row>
    <row r="20" spans="1:12" ht="19.5" customHeight="1">
      <c r="A20" s="4"/>
      <c r="B20" s="42" t="s">
        <v>12</v>
      </c>
      <c r="C20" s="42" t="s">
        <v>13</v>
      </c>
      <c r="D20" s="42" t="s">
        <v>14</v>
      </c>
      <c r="E20" s="3"/>
      <c r="F20" s="65" t="s">
        <v>88</v>
      </c>
      <c r="G20" s="65" t="s">
        <v>89</v>
      </c>
      <c r="H20" s="65" t="s">
        <v>90</v>
      </c>
      <c r="I20" s="65" t="s">
        <v>91</v>
      </c>
      <c r="J20" s="72" t="s">
        <v>101</v>
      </c>
      <c r="K20" s="74" t="s">
        <v>102</v>
      </c>
      <c r="L20" s="72" t="s">
        <v>103</v>
      </c>
    </row>
    <row r="21" spans="1:12" ht="19.5" customHeight="1">
      <c r="A21" s="4"/>
      <c r="B21" s="12" t="s">
        <v>15</v>
      </c>
      <c r="C21" s="52">
        <f>D11*((((1+D13)^(2*12))-1)/D13)</f>
        <v>5445.5254595290435</v>
      </c>
      <c r="D21" s="13">
        <f>C21*D7</f>
        <v>32.673152757174265</v>
      </c>
      <c r="E21" s="3"/>
      <c r="F21" s="67" t="s">
        <v>92</v>
      </c>
      <c r="G21" s="67" t="s">
        <v>93</v>
      </c>
      <c r="H21" s="59">
        <v>0.1221</v>
      </c>
      <c r="I21" s="68">
        <v>1</v>
      </c>
      <c r="J21" s="56">
        <v>9.19</v>
      </c>
      <c r="K21" s="36">
        <v>0</v>
      </c>
      <c r="L21" s="75">
        <f>IFERROR(K21/J21,0)</f>
        <v>0</v>
      </c>
    </row>
    <row r="22" spans="1:12" ht="19.5" customHeight="1">
      <c r="A22" s="4"/>
      <c r="B22" s="14" t="s">
        <v>16</v>
      </c>
      <c r="C22" s="53">
        <f>D11*((((1+D13)^(5*12))-1)/D13)</f>
        <v>16755.382799697527</v>
      </c>
      <c r="D22" s="15">
        <f>C22*D7</f>
        <v>100.53229679818516</v>
      </c>
      <c r="E22" s="3"/>
      <c r="F22" s="69" t="s">
        <v>94</v>
      </c>
      <c r="G22" s="69" t="s">
        <v>95</v>
      </c>
      <c r="H22" s="70">
        <v>8.9899999999999994E-2</v>
      </c>
      <c r="I22" s="71">
        <v>0.89</v>
      </c>
      <c r="J22" s="73">
        <v>148.30000000000001</v>
      </c>
      <c r="K22" s="76">
        <v>0</v>
      </c>
      <c r="L22" s="77">
        <f>IFERROR(K22/J22,0)</f>
        <v>0</v>
      </c>
    </row>
    <row r="23" spans="1:12" ht="19.5" customHeight="1">
      <c r="A23" s="4"/>
      <c r="B23" s="12" t="s">
        <v>17</v>
      </c>
      <c r="C23" s="52">
        <f>D11*((((1+D13)^(10*12))-1)/D13)</f>
        <v>48656.842506034438</v>
      </c>
      <c r="D23" s="13">
        <f>C23*D7</f>
        <v>291.94105503620665</v>
      </c>
      <c r="E23" s="3"/>
      <c r="F23" s="67" t="s">
        <v>96</v>
      </c>
      <c r="G23" s="67" t="s">
        <v>97</v>
      </c>
      <c r="H23" s="59">
        <v>8.2900000000000001E-2</v>
      </c>
      <c r="I23" s="68">
        <v>0.97</v>
      </c>
      <c r="J23" s="56">
        <v>158.22999999999999</v>
      </c>
      <c r="K23" s="36">
        <v>0</v>
      </c>
      <c r="L23" s="75">
        <f>IFERROR(K23/J23,0)</f>
        <v>0</v>
      </c>
    </row>
    <row r="24" spans="1:12" ht="19.5" customHeight="1">
      <c r="A24" s="4"/>
      <c r="B24" s="14" t="s">
        <v>18</v>
      </c>
      <c r="C24" s="53">
        <f>D11*((((1+D13)^(20*12))-1)/D13)</f>
        <v>225039.68001941612</v>
      </c>
      <c r="D24" s="15">
        <f>C24*D7</f>
        <v>1350.2380801164968</v>
      </c>
      <c r="E24" s="3"/>
      <c r="F24" s="69" t="s">
        <v>98</v>
      </c>
      <c r="G24" s="69" t="s">
        <v>99</v>
      </c>
      <c r="H24" s="70">
        <v>0.10589999999999999</v>
      </c>
      <c r="I24" s="71">
        <v>0.95</v>
      </c>
      <c r="J24" s="73">
        <v>104.38</v>
      </c>
      <c r="K24" s="76">
        <v>0</v>
      </c>
      <c r="L24" s="77">
        <f>IFERROR(K24/J24,0)</f>
        <v>0</v>
      </c>
    </row>
    <row r="25" spans="1:12" ht="19.5" customHeight="1">
      <c r="A25" s="4"/>
      <c r="B25" s="12" t="s">
        <v>19</v>
      </c>
      <c r="C25" s="52">
        <f>D11*((((1+D13)^(30*12))-1)/D13)</f>
        <v>864433.93100094295</v>
      </c>
      <c r="D25" s="13">
        <f>C25*D7</f>
        <v>5186.6035860056581</v>
      </c>
      <c r="E25" s="3"/>
      <c r="F25" s="78" t="s">
        <v>104</v>
      </c>
      <c r="G25" s="78"/>
      <c r="H25" s="78"/>
      <c r="I25" s="78"/>
      <c r="J25" s="78"/>
      <c r="K25" s="79">
        <f>SUM(K21:K24)</f>
        <v>0</v>
      </c>
      <c r="L25" s="80">
        <f>SUM(L21:L24)</f>
        <v>0</v>
      </c>
    </row>
    <row r="26" spans="1:12" ht="7.95" customHeight="1">
      <c r="A26" s="4"/>
      <c r="B26" s="4"/>
      <c r="C26" s="4"/>
      <c r="D26" s="4"/>
      <c r="E26" s="3"/>
      <c r="F26" s="81" t="s">
        <v>100</v>
      </c>
      <c r="G26" s="81"/>
      <c r="H26" s="81"/>
      <c r="I26" s="81"/>
      <c r="J26" s="81"/>
      <c r="K26" s="81"/>
      <c r="L26" s="81"/>
    </row>
    <row r="27" spans="1:12" ht="7.95" customHeight="1">
      <c r="A27" s="4"/>
      <c r="B27" s="4"/>
      <c r="C27" s="4"/>
      <c r="D27" s="4"/>
      <c r="E27" s="3"/>
      <c r="F27" s="3"/>
      <c r="G27" s="3"/>
      <c r="H27" s="3"/>
    </row>
    <row r="28" spans="1:12" ht="24" customHeight="1">
      <c r="A28" s="4"/>
      <c r="B28" s="41" t="s">
        <v>20</v>
      </c>
      <c r="C28" s="41"/>
      <c r="D28" s="41"/>
      <c r="E28" s="3"/>
      <c r="F28" s="3"/>
      <c r="G28" s="3"/>
      <c r="H28" s="3"/>
    </row>
    <row r="29" spans="1:12" ht="19.5" customHeight="1">
      <c r="A29" s="4"/>
      <c r="B29" s="5" t="s">
        <v>21</v>
      </c>
      <c r="C29" s="4"/>
      <c r="D29" s="51" t="s">
        <v>22</v>
      </c>
      <c r="E29" s="3"/>
      <c r="F29" s="3"/>
      <c r="G29" s="3"/>
      <c r="H29" s="3"/>
    </row>
    <row r="30" spans="1:12" ht="19.5" customHeight="1">
      <c r="A30" s="4"/>
      <c r="B30" s="6" t="s">
        <v>23</v>
      </c>
      <c r="C30" s="7"/>
      <c r="D30" s="8">
        <f>D11</f>
        <v>200</v>
      </c>
      <c r="E30" s="3"/>
      <c r="F30" s="3"/>
      <c r="G30" s="3"/>
      <c r="H30" s="3"/>
    </row>
    <row r="31" spans="1:12" ht="7.95" customHeight="1">
      <c r="A31" s="4"/>
      <c r="B31" s="4"/>
      <c r="C31" s="4"/>
      <c r="D31" s="4"/>
      <c r="E31" s="3"/>
      <c r="F31" s="3"/>
      <c r="G31" s="3"/>
      <c r="H31" s="3"/>
    </row>
    <row r="32" spans="1:12" ht="19.5" customHeight="1">
      <c r="A32" s="4"/>
      <c r="B32" s="42" t="s">
        <v>24</v>
      </c>
      <c r="C32" s="42" t="s">
        <v>25</v>
      </c>
      <c r="D32" s="42" t="s">
        <v>26</v>
      </c>
      <c r="E32" s="3"/>
      <c r="F32" s="3"/>
      <c r="G32" s="3"/>
      <c r="H32" s="3"/>
    </row>
    <row r="33" spans="1:8" ht="19.5" customHeight="1">
      <c r="A33" s="4"/>
      <c r="B33" s="16" t="s">
        <v>27</v>
      </c>
      <c r="C33" s="54">
        <f>IFERROR(INDEX(Dados!$D:$D,MATCH(D29&amp;"-"&amp;B33,Dados!$A:$A,0)),0)</f>
        <v>0.32</v>
      </c>
      <c r="D33" s="13">
        <f>C33*D30</f>
        <v>64</v>
      </c>
      <c r="E33" s="3"/>
      <c r="F33" s="3"/>
      <c r="G33" s="3"/>
      <c r="H33" s="3"/>
    </row>
    <row r="34" spans="1:8" ht="19.5" customHeight="1">
      <c r="A34" s="4"/>
      <c r="B34" s="17" t="s">
        <v>28</v>
      </c>
      <c r="C34" s="55">
        <f>IFERROR(INDEX(Dados!$D:$D,MATCH(D29&amp;"-"&amp;B34,Dados!$A:$A,0)),0)</f>
        <v>0.35</v>
      </c>
      <c r="D34" s="15">
        <f>C34*D30</f>
        <v>70</v>
      </c>
      <c r="E34" s="3"/>
      <c r="F34" s="3"/>
      <c r="G34" s="3"/>
      <c r="H34" s="3"/>
    </row>
    <row r="35" spans="1:8" ht="19.5" customHeight="1">
      <c r="A35" s="4"/>
      <c r="B35" s="16" t="s">
        <v>29</v>
      </c>
      <c r="C35" s="54">
        <f>IFERROR(INDEX(Dados!$D:$D,MATCH(D29&amp;"-"&amp;B35,Dados!$A:$A,0)),0)</f>
        <v>0.08</v>
      </c>
      <c r="D35" s="13">
        <f>C35*D30</f>
        <v>16</v>
      </c>
      <c r="E35" s="3"/>
      <c r="F35" s="3"/>
      <c r="G35" s="3"/>
      <c r="H35" s="3"/>
    </row>
    <row r="36" spans="1:8" ht="19.5" customHeight="1">
      <c r="A36" s="4"/>
      <c r="B36" s="17" t="s">
        <v>30</v>
      </c>
      <c r="C36" s="55">
        <f>IFERROR(INDEX(Dados!$D:$D,MATCH(D29&amp;"-"&amp;B36,Dados!$A:$A,0)),0)</f>
        <v>0.05</v>
      </c>
      <c r="D36" s="15">
        <f>C36*D30</f>
        <v>10</v>
      </c>
      <c r="E36" s="3"/>
      <c r="F36" s="3"/>
      <c r="G36" s="3"/>
      <c r="H36" s="3"/>
    </row>
    <row r="37" spans="1:8" ht="19.5" customHeight="1">
      <c r="A37" s="4"/>
      <c r="B37" s="16" t="s">
        <v>31</v>
      </c>
      <c r="C37" s="54">
        <f>IFERROR(INDEX(Dados!$D:$D,MATCH(D29&amp;"-"&amp;B37,Dados!$A:$A,0)),0)</f>
        <v>0.1</v>
      </c>
      <c r="D37" s="13">
        <f>C37*D30</f>
        <v>20</v>
      </c>
      <c r="E37" s="3"/>
      <c r="F37" s="3"/>
      <c r="G37" s="3"/>
      <c r="H37" s="3"/>
    </row>
    <row r="38" spans="1:8" ht="19.5" customHeight="1">
      <c r="A38" s="4"/>
      <c r="B38" s="17" t="s">
        <v>32</v>
      </c>
      <c r="C38" s="55">
        <f>IFERROR(INDEX(Dados!$D:$D,MATCH(D29&amp;"-"&amp;B38,Dados!$A:$A,0)),0)</f>
        <v>0.1</v>
      </c>
      <c r="D38" s="15">
        <f>C38*D30</f>
        <v>20</v>
      </c>
      <c r="E38" s="3"/>
      <c r="F38" s="3"/>
      <c r="G38" s="3"/>
      <c r="H38" s="3"/>
    </row>
    <row r="39" spans="1:8" ht="19.5" customHeight="1">
      <c r="A39" s="4"/>
      <c r="B39" s="43" t="s">
        <v>33</v>
      </c>
      <c r="C39" s="44">
        <f>SUM(C33:C38)</f>
        <v>0.99999999999999989</v>
      </c>
      <c r="D39" s="45">
        <f>SUM(D33:D38)</f>
        <v>200</v>
      </c>
      <c r="E39" s="3"/>
      <c r="F39" s="3"/>
      <c r="G39" s="3"/>
      <c r="H39" s="3"/>
    </row>
    <row r="40" spans="1:8" ht="19.5" customHeight="1">
      <c r="A40" s="4"/>
      <c r="B40" s="4"/>
      <c r="C40" s="4"/>
      <c r="D40" s="4"/>
      <c r="E40" s="3"/>
      <c r="F40" s="3"/>
      <c r="G40" s="3"/>
      <c r="H40" s="3"/>
    </row>
    <row r="41" spans="1:8" ht="19.5" customHeight="1">
      <c r="A41" s="4"/>
      <c r="B41" s="18" t="s">
        <v>34</v>
      </c>
      <c r="C41" s="18"/>
      <c r="D41" s="18"/>
      <c r="E41" s="3"/>
      <c r="F41" s="3"/>
      <c r="G41" s="3"/>
      <c r="H41" s="3"/>
    </row>
    <row r="42" spans="1:8" ht="19.5" customHeight="1">
      <c r="A42" s="3"/>
      <c r="B42" s="3"/>
      <c r="C42" s="3"/>
      <c r="D42" s="3"/>
      <c r="E42" s="3"/>
      <c r="F42" s="3"/>
      <c r="G42" s="3"/>
      <c r="H42" s="3"/>
    </row>
    <row r="43" spans="1:8" ht="19.5" customHeight="1">
      <c r="A43" s="3"/>
      <c r="B43" s="3"/>
      <c r="C43" s="3"/>
      <c r="D43" s="3"/>
      <c r="E43" s="3"/>
      <c r="F43" s="3"/>
      <c r="G43" s="3"/>
      <c r="H43" s="3"/>
    </row>
    <row r="44" spans="1:8" ht="19.5" customHeight="1">
      <c r="A44" s="3"/>
      <c r="B44" s="3"/>
      <c r="C44" s="3"/>
      <c r="D44" s="3"/>
      <c r="E44" s="3"/>
      <c r="F44" s="3"/>
      <c r="G44" s="3"/>
      <c r="H44" s="3"/>
    </row>
    <row r="45" spans="1:8" ht="19.5" customHeight="1">
      <c r="A45" s="3"/>
      <c r="B45" s="3"/>
      <c r="C45" s="3"/>
      <c r="D45" s="3"/>
      <c r="E45" s="3"/>
      <c r="F45" s="3"/>
      <c r="G45" s="3"/>
      <c r="H45" s="3"/>
    </row>
    <row r="46" spans="1:8" ht="19.5" customHeight="1">
      <c r="A46" s="3"/>
      <c r="B46" s="3"/>
      <c r="C46" s="3"/>
      <c r="D46" s="3"/>
      <c r="E46" s="3"/>
      <c r="F46" s="3"/>
      <c r="G46" s="3"/>
      <c r="H46" s="3"/>
    </row>
    <row r="47" spans="1:8" ht="19.5" customHeight="1">
      <c r="A47" s="3"/>
      <c r="B47" s="3"/>
      <c r="C47" s="3"/>
      <c r="D47" s="3"/>
      <c r="E47" s="3"/>
      <c r="F47" s="3"/>
      <c r="G47" s="3"/>
      <c r="H47" s="3"/>
    </row>
    <row r="48" spans="1:8" ht="19.5" customHeight="1">
      <c r="A48" s="3"/>
      <c r="B48" s="3"/>
      <c r="C48" s="3"/>
      <c r="D48" s="3"/>
      <c r="E48" s="3"/>
      <c r="F48" s="3"/>
      <c r="G48" s="3"/>
      <c r="H48" s="3"/>
    </row>
    <row r="49" spans="1:8" ht="19.5" customHeight="1">
      <c r="A49" s="3"/>
      <c r="B49" s="3"/>
      <c r="C49" s="3"/>
      <c r="D49" s="3"/>
      <c r="E49" s="3"/>
      <c r="F49" s="3"/>
      <c r="G49" s="3"/>
      <c r="H49" s="3"/>
    </row>
    <row r="50" spans="1:8" ht="19.5" customHeight="1">
      <c r="A50" s="3"/>
      <c r="B50" s="3"/>
      <c r="C50" s="3"/>
      <c r="D50" s="3"/>
      <c r="E50" s="3"/>
      <c r="F50" s="3"/>
      <c r="G50" s="3"/>
      <c r="H50" s="3"/>
    </row>
    <row r="51" spans="1:8" ht="19.5" customHeight="1"/>
    <row r="52" spans="1:8" ht="19.5" customHeight="1"/>
    <row r="53" spans="1:8" ht="19.5" customHeight="1"/>
    <row r="54" spans="1:8" ht="19.5" customHeight="1"/>
    <row r="55" spans="1:8" ht="19.5" customHeight="1"/>
    <row r="56" spans="1:8" ht="19.5" customHeight="1"/>
    <row r="57" spans="1:8" ht="19.5" customHeight="1"/>
    <row r="58" spans="1:8" ht="19.5" customHeight="1"/>
    <row r="59" spans="1:8" ht="19.5" customHeight="1"/>
    <row r="60" spans="1:8" ht="19.5" customHeight="1"/>
    <row r="61" spans="1:8" ht="19.5" customHeight="1"/>
    <row r="62" spans="1:8" ht="19.5" customHeight="1"/>
    <row r="63" spans="1:8" ht="19.5" customHeight="1"/>
    <row r="64" spans="1:8" ht="19.5" customHeight="1"/>
    <row r="65" ht="19.5" customHeight="1"/>
    <row r="66" ht="19.5" customHeight="1"/>
    <row r="67" ht="19.5" customHeight="1"/>
    <row r="68" ht="19.5" customHeight="1"/>
    <row r="69" ht="19.5" customHeight="1"/>
  </sheetData>
  <mergeCells count="21">
    <mergeCell ref="F26:L26"/>
    <mergeCell ref="F12:G12"/>
    <mergeCell ref="F25:J25"/>
    <mergeCell ref="F19:L19"/>
    <mergeCell ref="F15:G15"/>
    <mergeCell ref="F16:G16"/>
    <mergeCell ref="F17:G17"/>
    <mergeCell ref="F14:G14"/>
    <mergeCell ref="F13:G13"/>
    <mergeCell ref="F9:H9"/>
    <mergeCell ref="F11:H11"/>
    <mergeCell ref="B19:D19"/>
    <mergeCell ref="B28:D28"/>
    <mergeCell ref="B41:D41"/>
    <mergeCell ref="F5:I5"/>
    <mergeCell ref="F6:H6"/>
    <mergeCell ref="F7:H7"/>
    <mergeCell ref="F8:H8"/>
    <mergeCell ref="B5:D5"/>
    <mergeCell ref="B10:D10"/>
    <mergeCell ref="B15:D15"/>
  </mergeCells>
  <dataValidations count="1">
    <dataValidation type="list" sqref="D29" xr:uid="{00000000-0002-0000-0000-000000000000}">
      <formula1>"Conservador,Moderado,Agressivo"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D9F5"/>
  </sheetPr>
  <dimension ref="A1:D20"/>
  <sheetViews>
    <sheetView showGridLines="0" zoomScaleNormal="100" workbookViewId="0">
      <selection sqref="A1:D1"/>
    </sheetView>
  </sheetViews>
  <sheetFormatPr defaultColWidth="8.6640625" defaultRowHeight="14.4"/>
  <cols>
    <col min="1" max="1" width="30.33203125" bestFit="1" customWidth="1"/>
    <col min="2" max="2" width="11.33203125" bestFit="1" customWidth="1"/>
    <col min="3" max="3" width="19" bestFit="1" customWidth="1"/>
    <col min="4" max="4" width="4.6640625" bestFit="1" customWidth="1"/>
  </cols>
  <sheetData>
    <row r="1" spans="1:4" ht="25.95" customHeight="1">
      <c r="A1" s="61" t="s">
        <v>74</v>
      </c>
      <c r="B1" s="61"/>
      <c r="C1" s="61"/>
      <c r="D1" s="61"/>
    </row>
    <row r="2" spans="1:4" ht="18" customHeight="1">
      <c r="A2" s="62" t="s">
        <v>35</v>
      </c>
      <c r="B2" s="63" t="s">
        <v>36</v>
      </c>
      <c r="C2" s="62" t="s">
        <v>37</v>
      </c>
      <c r="D2" s="63" t="s">
        <v>38</v>
      </c>
    </row>
    <row r="3" spans="1:4" ht="18" customHeight="1">
      <c r="A3" s="19" t="s">
        <v>39</v>
      </c>
      <c r="B3" s="20" t="s">
        <v>40</v>
      </c>
      <c r="C3" s="19" t="s">
        <v>27</v>
      </c>
      <c r="D3" s="21">
        <v>0.3</v>
      </c>
    </row>
    <row r="4" spans="1:4" ht="18" customHeight="1">
      <c r="A4" s="22" t="s">
        <v>41</v>
      </c>
      <c r="B4" s="23" t="s">
        <v>40</v>
      </c>
      <c r="C4" s="22" t="s">
        <v>28</v>
      </c>
      <c r="D4" s="24">
        <v>0.5</v>
      </c>
    </row>
    <row r="5" spans="1:4" ht="18" customHeight="1">
      <c r="A5" s="19" t="s">
        <v>42</v>
      </c>
      <c r="B5" s="20" t="s">
        <v>40</v>
      </c>
      <c r="C5" s="19" t="s">
        <v>29</v>
      </c>
      <c r="D5" s="21">
        <v>0.1</v>
      </c>
    </row>
    <row r="6" spans="1:4" ht="18" customHeight="1">
      <c r="A6" s="22" t="s">
        <v>43</v>
      </c>
      <c r="B6" s="23" t="s">
        <v>40</v>
      </c>
      <c r="C6" s="22" t="s">
        <v>30</v>
      </c>
      <c r="D6" s="24">
        <v>0.1</v>
      </c>
    </row>
    <row r="7" spans="1:4" ht="18" customHeight="1">
      <c r="A7" s="19" t="s">
        <v>44</v>
      </c>
      <c r="B7" s="20" t="s">
        <v>40</v>
      </c>
      <c r="C7" s="19" t="s">
        <v>31</v>
      </c>
      <c r="D7" s="21">
        <v>0</v>
      </c>
    </row>
    <row r="8" spans="1:4" ht="18" customHeight="1">
      <c r="A8" s="22" t="s">
        <v>45</v>
      </c>
      <c r="B8" s="23" t="s">
        <v>40</v>
      </c>
      <c r="C8" s="22" t="s">
        <v>32</v>
      </c>
      <c r="D8" s="24">
        <v>0</v>
      </c>
    </row>
    <row r="9" spans="1:4" ht="18" customHeight="1">
      <c r="A9" s="19" t="s">
        <v>46</v>
      </c>
      <c r="B9" s="20" t="s">
        <v>22</v>
      </c>
      <c r="C9" s="19" t="s">
        <v>27</v>
      </c>
      <c r="D9" s="21">
        <v>0.32</v>
      </c>
    </row>
    <row r="10" spans="1:4" ht="18" customHeight="1">
      <c r="A10" s="22" t="s">
        <v>47</v>
      </c>
      <c r="B10" s="23" t="s">
        <v>22</v>
      </c>
      <c r="C10" s="22" t="s">
        <v>28</v>
      </c>
      <c r="D10" s="24">
        <v>0.35</v>
      </c>
    </row>
    <row r="11" spans="1:4" ht="18" customHeight="1">
      <c r="A11" s="19" t="s">
        <v>48</v>
      </c>
      <c r="B11" s="20" t="s">
        <v>22</v>
      </c>
      <c r="C11" s="19" t="s">
        <v>29</v>
      </c>
      <c r="D11" s="21">
        <v>0.08</v>
      </c>
    </row>
    <row r="12" spans="1:4" ht="18" customHeight="1">
      <c r="A12" s="22" t="s">
        <v>49</v>
      </c>
      <c r="B12" s="23" t="s">
        <v>22</v>
      </c>
      <c r="C12" s="22" t="s">
        <v>30</v>
      </c>
      <c r="D12" s="24">
        <v>0.05</v>
      </c>
    </row>
    <row r="13" spans="1:4" ht="18" customHeight="1">
      <c r="A13" s="19" t="s">
        <v>50</v>
      </c>
      <c r="B13" s="20" t="s">
        <v>22</v>
      </c>
      <c r="C13" s="19" t="s">
        <v>31</v>
      </c>
      <c r="D13" s="21">
        <v>0.1</v>
      </c>
    </row>
    <row r="14" spans="1:4" ht="18" customHeight="1">
      <c r="A14" s="22" t="s">
        <v>51</v>
      </c>
      <c r="B14" s="23" t="s">
        <v>22</v>
      </c>
      <c r="C14" s="22" t="s">
        <v>32</v>
      </c>
      <c r="D14" s="24">
        <v>0.1</v>
      </c>
    </row>
    <row r="15" spans="1:4" ht="18" customHeight="1">
      <c r="A15" s="19" t="s">
        <v>52</v>
      </c>
      <c r="B15" s="20" t="s">
        <v>53</v>
      </c>
      <c r="C15" s="19" t="s">
        <v>27</v>
      </c>
      <c r="D15" s="21">
        <v>0.5</v>
      </c>
    </row>
    <row r="16" spans="1:4" ht="18" customHeight="1">
      <c r="A16" s="22" t="s">
        <v>54</v>
      </c>
      <c r="B16" s="23" t="s">
        <v>53</v>
      </c>
      <c r="C16" s="22" t="s">
        <v>28</v>
      </c>
      <c r="D16" s="24">
        <v>0.1</v>
      </c>
    </row>
    <row r="17" spans="1:4" ht="18" customHeight="1">
      <c r="A17" s="19" t="s">
        <v>55</v>
      </c>
      <c r="B17" s="20" t="s">
        <v>53</v>
      </c>
      <c r="C17" s="19" t="s">
        <v>29</v>
      </c>
      <c r="D17" s="21">
        <v>0.05</v>
      </c>
    </row>
    <row r="18" spans="1:4" ht="18" customHeight="1">
      <c r="A18" s="22" t="s">
        <v>56</v>
      </c>
      <c r="B18" s="23" t="s">
        <v>53</v>
      </c>
      <c r="C18" s="22" t="s">
        <v>30</v>
      </c>
      <c r="D18" s="24">
        <v>0.05</v>
      </c>
    </row>
    <row r="19" spans="1:4" ht="18" customHeight="1">
      <c r="A19" s="19" t="s">
        <v>57</v>
      </c>
      <c r="B19" s="20" t="s">
        <v>53</v>
      </c>
      <c r="C19" s="19" t="s">
        <v>31</v>
      </c>
      <c r="D19" s="21">
        <v>0.2</v>
      </c>
    </row>
    <row r="20" spans="1:4" ht="18" customHeight="1">
      <c r="A20" s="22" t="s">
        <v>58</v>
      </c>
      <c r="B20" s="23" t="s">
        <v>53</v>
      </c>
      <c r="C20" s="22" t="s">
        <v>32</v>
      </c>
      <c r="D20" s="24">
        <v>0.1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D9F5"/>
  </sheetPr>
  <dimension ref="A1:C19"/>
  <sheetViews>
    <sheetView showGridLines="0" tabSelected="1" zoomScaleNormal="100" workbookViewId="0">
      <selection activeCell="E6" sqref="E6"/>
    </sheetView>
  </sheetViews>
  <sheetFormatPr defaultColWidth="8.6640625" defaultRowHeight="14.4"/>
  <cols>
    <col min="1" max="1" width="2" customWidth="1"/>
    <col min="2" max="3" width="40" customWidth="1"/>
    <col min="4" max="4" width="2" customWidth="1"/>
  </cols>
  <sheetData>
    <row r="1" spans="1:3" ht="60" customHeight="1">
      <c r="A1" s="2"/>
    </row>
    <row r="2" spans="1:3" ht="6" customHeight="1">
      <c r="A2" s="2"/>
    </row>
    <row r="3" spans="1:3">
      <c r="A3" s="2"/>
      <c r="B3" s="1"/>
      <c r="C3" s="1"/>
    </row>
    <row r="4" spans="1:3" ht="18" customHeight="1">
      <c r="A4" s="2"/>
      <c r="B4" s="25" t="s">
        <v>59</v>
      </c>
      <c r="C4" s="25"/>
    </row>
    <row r="5" spans="1:3" ht="18" customHeight="1">
      <c r="A5" s="2"/>
      <c r="B5" s="26" t="s">
        <v>60</v>
      </c>
      <c r="C5" s="26"/>
    </row>
    <row r="6" spans="1:3" ht="18" customHeight="1">
      <c r="A6" s="2"/>
      <c r="B6" s="25" t="s">
        <v>61</v>
      </c>
      <c r="C6" s="25"/>
    </row>
    <row r="7" spans="1:3" ht="18" customHeight="1">
      <c r="A7" s="2"/>
      <c r="B7" s="26" t="s">
        <v>62</v>
      </c>
      <c r="C7" s="26"/>
    </row>
    <row r="8" spans="1:3" ht="18" customHeight="1">
      <c r="A8" s="2"/>
      <c r="B8" s="25" t="s">
        <v>63</v>
      </c>
      <c r="C8" s="25"/>
    </row>
    <row r="9" spans="1:3" ht="36" customHeight="1">
      <c r="A9" s="2"/>
      <c r="B9" s="27" t="s">
        <v>64</v>
      </c>
      <c r="C9" s="27"/>
    </row>
    <row r="10" spans="1:3" ht="7.95" customHeight="1">
      <c r="A10" s="2"/>
      <c r="B10" s="1"/>
      <c r="C10" s="1"/>
    </row>
    <row r="11" spans="1:3" ht="7.95" customHeight="1">
      <c r="A11" s="2"/>
      <c r="B11" s="1"/>
      <c r="C11" s="1"/>
    </row>
    <row r="12" spans="1:3" ht="7.95" customHeight="1">
      <c r="A12" s="2"/>
      <c r="B12" s="1"/>
      <c r="C12" s="1"/>
    </row>
    <row r="13" spans="1:3" ht="7.95" customHeight="1">
      <c r="A13" s="2"/>
      <c r="B13" s="1"/>
      <c r="C13" s="1"/>
    </row>
    <row r="14" spans="1:3" ht="7.95" customHeight="1">
      <c r="A14" s="2"/>
      <c r="B14" s="1"/>
      <c r="C14" s="1"/>
    </row>
    <row r="15" spans="1:3" ht="15" customHeight="1">
      <c r="A15" s="2"/>
      <c r="B15" s="64" t="s">
        <v>65</v>
      </c>
      <c r="C15" s="64"/>
    </row>
    <row r="16" spans="1:3" ht="26.4">
      <c r="A16" s="2"/>
      <c r="B16" s="28" t="s">
        <v>66</v>
      </c>
      <c r="C16" s="29" t="s">
        <v>67</v>
      </c>
    </row>
    <row r="17" spans="1:3" ht="26.4">
      <c r="A17" s="2"/>
      <c r="B17" s="30" t="s">
        <v>68</v>
      </c>
      <c r="C17" s="31" t="s">
        <v>69</v>
      </c>
    </row>
    <row r="18" spans="1:3">
      <c r="A18" s="2"/>
      <c r="B18" s="28" t="s">
        <v>70</v>
      </c>
      <c r="C18" s="29" t="s">
        <v>71</v>
      </c>
    </row>
    <row r="19" spans="1:3">
      <c r="A19" s="2"/>
      <c r="B19" s="30" t="s">
        <v>72</v>
      </c>
      <c r="C19" s="31" t="s">
        <v>73</v>
      </c>
    </row>
  </sheetData>
  <mergeCells count="7">
    <mergeCell ref="B8:C8"/>
    <mergeCell ref="B9:C9"/>
    <mergeCell ref="B15:C15"/>
    <mergeCell ref="B4:C4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</vt:lpstr>
      <vt:lpstr>Dados</vt:lpstr>
      <vt:lpstr>Guia Rápido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cardoso</cp:lastModifiedBy>
  <cp:revision>0</cp:revision>
  <dcterms:created xsi:type="dcterms:W3CDTF">2026-09-08T13:19:28Z</dcterms:created>
  <dcterms:modified xsi:type="dcterms:W3CDTF">2026-09-08T15:29:51Z</dcterms:modified>
  <dc:language>en-US</dc:language>
</cp:coreProperties>
</file>